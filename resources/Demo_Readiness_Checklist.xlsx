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d5880ff02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 Readiness" sheetId="1" r:id="Rde2e5ce2dcb24fcb"/>
    <x:sheet xmlns:r="http://schemas.openxmlformats.org/officeDocument/2006/relationships" name="Summary + Runbook" sheetId="2" r:id="R9f25ea88905848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83340"/>
      <x:name val="Carlito"/>
    </x:font>
    <x:font>
      <x:b/>
      <x:sz val="10"/>
      <x:color rgb="FFFFFFFF"/>
      <x:name val="Carlito"/>
    </x:font>
    <x:font>
      <x:sz val="8"/>
      <x:color rgb="FF183340"/>
      <x:name val="Carlito"/>
    </x:font>
    <x:font>
      <x:b/>
      <x:sz val="11"/>
      <x:color rgb="FF087E78"/>
      <x:name val="Carlito"/>
    </x:font>
    <x:font>
      <x:b/>
      <x:sz val="16"/>
      <x:color rgb="FF082638"/>
      <x:name val="Carlito"/>
    </x:font>
    <x:font>
      <x:b/>
      <x:sz val="11"/>
      <x:color rgb="FFFFFFFF"/>
      <x:name val="Carlito"/>
    </x:font>
    <x:font>
      <x:sz val="11"/>
      <x:color rgb="FF1833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82638"/>
      </x:patternFill>
    </x:fill>
    <x:fill>
      <x:patternFill patternType="solid">
        <x:fgColor rgb="FFDDF2EE"/>
      </x:patternFill>
    </x:fill>
    <x:fill>
      <x:patternFill patternType="solid">
        <x:fgColor rgb="FF087E78"/>
      </x:patternFill>
    </x:fill>
    <x:fill>
      <x:patternFill patternType="solid">
        <x:fgColor rgb="FFF7F3EB"/>
      </x:patternFill>
    </x:fill>
    <x:fill>
      <x:patternFill patternType="solid">
        <x:fgColor rgb="FFE8694A"/>
      </x:patternFill>
    </x:fill>
    <x:fill>
      <x:patternFill patternType="solid">
        <x:fgColor rgb="FFFBE7DF"/>
      </x:patternFill>
    </x:fill>
  </x:fills>
  <x:borders count="6">
    <x:border/>
    <x:border>
      <x:left style="thin">
        <x:color rgb="FFD3DDDE"/>
      </x:left>
      <x:top style="thin">
        <x:color rgb="FFD3DDDE"/>
      </x:top>
      <x:bottom style="thin">
        <x:color rgb="FFD3DDDE"/>
      </x:bottom>
    </x:border>
    <x:border>
      <x:top style="thin">
        <x:color rgb="FFD3DDDE"/>
      </x:top>
      <x:bottom style="thin">
        <x:color rgb="FFD3DDDE"/>
      </x:bottom>
    </x:border>
    <x:border>
      <x:right style="thin">
        <x:color rgb="FFD3DDDE"/>
      </x:right>
      <x:top style="thin">
        <x:color rgb="FFD3DDDE"/>
      </x:top>
      <x:bottom style="thin">
        <x:color rgb="FFD3DDDE"/>
      </x:bottom>
    </x:border>
    <x:border>
      <x:bottom style="thin">
        <x:color rgb="FFD3DDDE"/>
      </x:bottom>
    </x:border>
    <x:border>
      <x:top style="thin">
        <x:color rgb="FFD3DDDE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87E78"/>
      </x:font>
      <x:fill>
        <x:patternFill patternType="solid">
          <x:bgColor rgb="FFDDF2E7"/>
        </x:patternFill>
      </x:fill>
    </x:dxf>
    <x:dxf>
      <x:font>
        <x:b/>
        <x:color rgb="FFE8694A"/>
      </x:font>
      <x:fill>
        <x:patternFill patternType="solid">
          <x:bgColor rgb="FFFBE5E2"/>
        </x:patternFill>
      </x:fill>
    </x:dxf>
    <x:dxf>
      <x:font>
        <x:b/>
        <x:color rgb="FFC59028"/>
      </x:font>
      <x:fill>
        <x:patternFill patternType="solid">
          <x:bgColor rgb="FFF5EA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ee87c1363499e" /><Relationship Type="http://schemas.openxmlformats.org/officeDocument/2006/relationships/theme" Target="/xl/theme/theme1.xml" Id="Ra54d58541d7e46ca" /><Relationship Type="http://schemas.openxmlformats.org/officeDocument/2006/relationships/sharedStrings" Target="/xl/sharedStrings.xml" Id="Rf0a88b3535a64b3f" /><Relationship Type="http://schemas.openxmlformats.org/officeDocument/2006/relationships/worksheet" Target="/xl/worksheets/sheet1.xml" Id="Rde2e5ce2dcb24fcb" /><Relationship Type="http://schemas.openxmlformats.org/officeDocument/2006/relationships/worksheet" Target="/xl/worksheets/sheet2.xml" Id="R9f25ea889058483e" /></Relationships>
</file>

<file path=xl/tables/table1.xml><?xml version="1.0" encoding="utf-8"?>
<x:table xmlns:x="http://schemas.openxmlformats.org/spreadsheetml/2006/main" id="1" name="DemoReadinessV2" displayName="DemoReadinessV2" ref="A4:P22" headerRowCount="1" totalsRowCount="0" totalsRowShown="0">
  <x:tableColumns count="16">
    <x:tableColumn id="1" name="Station"/>
    <x:tableColumn id="2" name="Tool"/>
    <x:tableColumn id="3" name="Access"/>
    <x:tableColumn id="4" name="Official URL"/>
    <x:tableColumn id="5" name="Demo / sign-up"/>
    <x:tableColumn id="6" name="Intended demo mode"/>
    <x:tableColumn id="7" name="Priority"/>
    <x:tableColumn id="8" name="Account owner"/>
    <x:tableColumn id="9" name="Login status"/>
    <x:tableColumn id="10" name="Privacy check"/>
    <x:tableColumn id="11" name="Synthetic input ready"/>
    <x:tableColumn id="12" name="Screenshot fallback"/>
    <x:tableColumn id="13" name="Expected output"/>
    <x:tableColumn id="14" name="Human checkpoint"/>
    <x:tableColumn id="15" name="Last tested"/>
    <x:tableColumn id="16" name="Overall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0e11c01fb6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22" hidden="0" customWidth="1"/>
    <x:col min="4" max="4" width="36" hidden="0" customWidth="1"/>
    <x:col min="5" max="5" width="35" hidden="0" customWidth="1"/>
    <x:col min="6" max="6" width="23" hidden="0" customWidth="1"/>
    <x:col min="7" max="7" width="17" hidden="0" customWidth="1"/>
    <x:col min="8" max="8" width="19" hidden="0" customWidth="1"/>
    <x:col min="9" max="9" width="15" hidden="0" customWidth="1"/>
    <x:col min="10" max="10" width="15" hidden="0" customWidth="1"/>
    <x:col min="11" max="11" width="17" hidden="0" customWidth="1"/>
    <x:col min="12" max="12" width="17" hidden="0" customWidth="1"/>
    <x:col min="13" max="13" width="31" hidden="0" customWidth="1"/>
    <x:col min="14" max="14" width="35" hidden="0" customWidth="1"/>
    <x:col min="15" max="15" width="14" hidden="0" customWidth="1"/>
    <x:col min="16" max="16" width="15" hidden="0" customWidth="1"/>
  </x:cols>
  <x:sheetData>
    <x:row r="1" ht="34" customHeight="1">
      <x:c r="A1" s="3" t="str">
        <x:v>Demo Readiness Checklist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Complete 24 hours before delivery • no real patient data • every live tool has a tested fallback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4" customHeight="1">
      <x:c r="A4" s="19" t="str">
        <x:v>Station</x:v>
      </x:c>
      <x:c r="B4" s="20" t="str">
        <x:v>Tool</x:v>
      </x:c>
      <x:c r="C4" s="20" t="str">
        <x:v>Access</x:v>
      </x:c>
      <x:c r="D4" s="20" t="str">
        <x:v>Official URL</x:v>
      </x:c>
      <x:c r="E4" s="20" t="str">
        <x:v>Demo / sign-up</x:v>
      </x:c>
      <x:c r="F4" s="20" t="str">
        <x:v>Intended demo mode</x:v>
      </x:c>
      <x:c r="G4" s="20" t="str">
        <x:v>Priority</x:v>
      </x:c>
      <x:c r="H4" s="20" t="str">
        <x:v>Account owner</x:v>
      </x:c>
      <x:c r="I4" s="20" t="str">
        <x:v>Login status</x:v>
      </x:c>
      <x:c r="J4" s="20" t="str">
        <x:v>Privacy check</x:v>
      </x:c>
      <x:c r="K4" s="20" t="str">
        <x:v>Synthetic input ready</x:v>
      </x:c>
      <x:c r="L4" s="20" t="str">
        <x:v>Screenshot fallback</x:v>
      </x:c>
      <x:c r="M4" s="20" t="str">
        <x:v>Expected output</x:v>
      </x:c>
      <x:c r="N4" s="20" t="str">
        <x:v>Human checkpoint</x:v>
      </x:c>
      <x:c r="O4" s="20" t="str">
        <x:v>Last tested</x:v>
      </x:c>
      <x:c r="P4" s="21" t="str">
        <x:v>Overall status</x:v>
      </x:c>
    </x:row>
    <x:row r="5" ht="54" customHeight="1">
      <x:c r="A5" s="29" t="str">
        <x:v>1</x:v>
      </x:c>
      <x:c r="B5" s="29" t="str">
        <x:v>Heidi Health</x:v>
      </x:c>
      <x:c r="C5" s="29" t="str">
        <x:v>Free tier + paid</x:v>
      </x:c>
      <x:c r="D5" s="29" t="str">
        <x:v>https://www.heidihealth.com/</x:v>
      </x:c>
      <x:c r="E5" s="29" t="str">
        <x:v>https://scribe.heidihealth.com/</x:v>
      </x:c>
      <x:c r="F5" s="29" t="str">
        <x:v>Live if approved</x:v>
      </x:c>
      <x:c r="G5" s="29" t="str">
        <x:v>MDP Core</x:v>
      </x:c>
      <x:c r="H5" s="29" t="str"/>
      <x:c r="I5" s="29" t="str">
        <x:v>Not tested</x:v>
      </x:c>
      <x:c r="J5" s="29" t="str">
        <x:v>Pending</x:v>
      </x:c>
      <x:c r="K5" s="29" t="str">
        <x:v>Yes</x:v>
      </x:c>
      <x:c r="L5" s="29" t="str">
        <x:v>Yes</x:v>
      </x:c>
      <x:c r="M5" s="29" t="str">
        <x:v>Task-specific output for comparison</x:v>
      </x:c>
      <x:c r="N5" s="29" t="str">
        <x:v>Named professional verifies before use/release</x:v>
      </x:c>
      <x:c r="O5" s="29" t="str"/>
      <x:c r="P5" s="29" t="str">
        <x:f>IF(AND(I5="Ready",J5="Pass",K5="Yes",L5="Yes"),"READY",IF(OR(I5="Blocked",J5="Fail"),"BLOCKED","PENDING"))</x:f>
        <x:v>PENDING</x:v>
      </x:c>
    </x:row>
    <x:row r="6" ht="54" customHeight="1">
      <x:c r="A6" s="30" t="str">
        <x:v>1</x:v>
      </x:c>
      <x:c r="B6" s="30" t="str">
        <x:v>Nabla</x:v>
      </x:c>
      <x:c r="C6" s="30" t="str">
        <x:v>Free trial / paid enterprise</x:v>
      </x:c>
      <x:c r="D6" s="30" t="str">
        <x:v>https://www.nabla.com/</x:v>
      </x:c>
      <x:c r="E6" s="30" t="str">
        <x:v>https://app.nabla.com/</x:v>
      </x:c>
      <x:c r="F6" s="30" t="str">
        <x:v>Facilitator/trial</x:v>
      </x:c>
      <x:c r="G6" s="30" t="str">
        <x:v>MDP Core</x:v>
      </x:c>
      <x:c r="H6" s="30" t="str"/>
      <x:c r="I6" s="30" t="str">
        <x:v>Not tested</x:v>
      </x:c>
      <x:c r="J6" s="30" t="str">
        <x:v>Pending</x:v>
      </x:c>
      <x:c r="K6" s="30" t="str">
        <x:v>Yes</x:v>
      </x:c>
      <x:c r="L6" s="30" t="str">
        <x:v>Yes</x:v>
      </x:c>
      <x:c r="M6" s="30" t="str">
        <x:v>Task-specific output for comparison</x:v>
      </x:c>
      <x:c r="N6" s="30" t="str">
        <x:v>Named professional verifies before use/release</x:v>
      </x:c>
      <x:c r="O6" s="30" t="str"/>
      <x:c r="P6" s="30" t="str">
        <x:f>IF(AND(I6="Ready",J6="Pass",K6="Yes",L6="Yes"),"READY",IF(OR(I6="Blocked",J6="Fail"),"BLOCKED","PENDING"))</x:f>
        <x:v>PENDING</x:v>
      </x:c>
    </x:row>
    <x:row r="7" ht="54" customHeight="1">
      <x:c r="A7" s="30" t="str">
        <x:v>1</x:v>
      </x:c>
      <x:c r="B7" s="30" t="str">
        <x:v>Abridge</x:v>
      </x:c>
      <x:c r="C7" s="30" t="str">
        <x:v>Paid enterprise / request demo</x:v>
      </x:c>
      <x:c r="D7" s="30" t="str">
        <x:v>https://www.abridge.com/</x:v>
      </x:c>
      <x:c r="E7" s="30" t="str">
        <x:v>https://www.abridge.com/product</x:v>
      </x:c>
      <x:c r="F7" s="30" t="str">
        <x:v>Showcase/screenshots</x:v>
      </x:c>
      <x:c r="G7" s="30" t="str">
        <x:v>Landscape</x:v>
      </x:c>
      <x:c r="H7" s="30" t="str"/>
      <x:c r="I7" s="30" t="str">
        <x:v>Not tested</x:v>
      </x:c>
      <x:c r="J7" s="30" t="str">
        <x:v>Pending</x:v>
      </x:c>
      <x:c r="K7" s="30" t="str">
        <x:v>Yes</x:v>
      </x:c>
      <x:c r="L7" s="30" t="str">
        <x:v>Yes</x:v>
      </x:c>
      <x:c r="M7" s="30" t="str">
        <x:v>Task-specific output for comparison</x:v>
      </x:c>
      <x:c r="N7" s="30" t="str">
        <x:v>Named professional verifies before use/release</x:v>
      </x:c>
      <x:c r="O7" s="30" t="str"/>
      <x:c r="P7" s="30" t="str">
        <x:f>IF(AND(I7="Ready",J7="Pass",K7="Yes",L7="Yes"),"READY",IF(OR(I7="Blocked",J7="Fail"),"BLOCKED","PENDING"))</x:f>
        <x:v>PENDING</x:v>
      </x:c>
    </x:row>
    <x:row r="8" ht="54" customHeight="1">
      <x:c r="A8" s="30" t="str">
        <x:v>2</x:v>
      </x:c>
      <x:c r="B8" s="30" t="str">
        <x:v>Medscape AI</x:v>
      </x:c>
      <x:c r="C8" s="30" t="str">
        <x:v>Free for registered users</x:v>
      </x:c>
      <x:c r="D8" s="30" t="str">
        <x:v>https://www.medscape.com/sites/public/medscape-ai</x:v>
      </x:c>
      <x:c r="E8" s="30" t="str">
        <x:v>https://www.medscape.com/sites/public/medscape-ai</x:v>
      </x:c>
      <x:c r="F8" s="30" t="str">
        <x:v>Live registered</x:v>
      </x:c>
      <x:c r="G8" s="30" t="str">
        <x:v>MDP Core</x:v>
      </x:c>
      <x:c r="H8" s="30" t="str"/>
      <x:c r="I8" s="30" t="str">
        <x:v>Not tested</x:v>
      </x:c>
      <x:c r="J8" s="30" t="str">
        <x:v>Pending</x:v>
      </x:c>
      <x:c r="K8" s="30" t="str">
        <x:v>Yes</x:v>
      </x:c>
      <x:c r="L8" s="30" t="str">
        <x:v>Yes</x:v>
      </x:c>
      <x:c r="M8" s="30" t="str">
        <x:v>Task-specific output for comparison</x:v>
      </x:c>
      <x:c r="N8" s="30" t="str">
        <x:v>Named professional verifies before use/release</x:v>
      </x:c>
      <x:c r="O8" s="30" t="str"/>
      <x:c r="P8" s="30" t="str">
        <x:f>IF(AND(I8="Ready",J8="Pass",K8="Yes",L8="Yes"),"READY",IF(OR(I8="Blocked",J8="Fail"),"BLOCKED","PENDING"))</x:f>
        <x:v>PENDING</x:v>
      </x:c>
    </x:row>
    <x:row r="9" ht="54" customHeight="1">
      <x:c r="A9" s="30" t="str">
        <x:v>2</x:v>
      </x:c>
      <x:c r="B9" s="30" t="str">
        <x:v>ClinicalKey AI</x:v>
      </x:c>
      <x:c r="C9" s="30" t="str">
        <x:v>Paid institutional / request demo</x:v>
      </x:c>
      <x:c r="D9" s="30" t="str">
        <x:v>https://www.elsevier.com/products/clinicalkey/clinicalkey-ai</x:v>
      </x:c>
      <x:c r="E9" s="30" t="str">
        <x:v>https://www.elsevier.com/products/clinicalkey/clinicalkey-ai/request-demo</x:v>
      </x:c>
      <x:c r="F9" s="30" t="str">
        <x:v>Institutional showcase</x:v>
      </x:c>
      <x:c r="G9" s="30" t="str">
        <x:v>MDP Core</x:v>
      </x:c>
      <x:c r="H9" s="30" t="str"/>
      <x:c r="I9" s="30" t="str">
        <x:v>Not tested</x:v>
      </x:c>
      <x:c r="J9" s="30" t="str">
        <x:v>Pending</x:v>
      </x:c>
      <x:c r="K9" s="30" t="str">
        <x:v>Yes</x:v>
      </x:c>
      <x:c r="L9" s="30" t="str">
        <x:v>Yes</x:v>
      </x:c>
      <x:c r="M9" s="30" t="str">
        <x:v>Task-specific output for comparison</x:v>
      </x:c>
      <x:c r="N9" s="30" t="str">
        <x:v>Named professional verifies before use/release</x:v>
      </x:c>
      <x:c r="O9" s="30" t="str"/>
      <x:c r="P9" s="30" t="str">
        <x:f>IF(AND(I9="Ready",J9="Pass",K9="Yes",L9="Yes"),"READY",IF(OR(I9="Blocked",J9="Fail"),"BLOCKED","PENDING"))</x:f>
        <x:v>PENDING</x:v>
      </x:c>
    </x:row>
    <x:row r="10" ht="54" customHeight="1">
      <x:c r="A10" s="30" t="str">
        <x:v>2</x:v>
      </x:c>
      <x:c r="B10" s="30" t="str">
        <x:v>VisualDx</x:v>
      </x:c>
      <x:c r="C10" s="30" t="str">
        <x:v>Paid + trial / institutional</x:v>
      </x:c>
      <x:c r="D10" s="30" t="str">
        <x:v>https://www.visualdx.com/</x:v>
      </x:c>
      <x:c r="E10" s="30" t="str">
        <x:v>https://www.visualdx.com/</x:v>
      </x:c>
      <x:c r="F10" s="30" t="str">
        <x:v>Trial/screenshots</x:v>
      </x:c>
      <x:c r="G10" s="30" t="str">
        <x:v>MDP Core</x:v>
      </x:c>
      <x:c r="H10" s="30" t="str"/>
      <x:c r="I10" s="30" t="str">
        <x:v>Not tested</x:v>
      </x:c>
      <x:c r="J10" s="30" t="str">
        <x:v>Pending</x:v>
      </x:c>
      <x:c r="K10" s="30" t="str">
        <x:v>Yes</x:v>
      </x:c>
      <x:c r="L10" s="30" t="str">
        <x:v>Yes</x:v>
      </x:c>
      <x:c r="M10" s="30" t="str">
        <x:v>Task-specific output for comparison</x:v>
      </x:c>
      <x:c r="N10" s="30" t="str">
        <x:v>Named professional verifies before use/release</x:v>
      </x:c>
      <x:c r="O10" s="30" t="str"/>
      <x:c r="P10" s="30" t="str">
        <x:f>IF(AND(I10="Ready",J10="Pass",K10="Yes",L10="Yes"),"READY",IF(OR(I10="Blocked",J10="Fail"),"BLOCKED","PENDING"))</x:f>
        <x:v>PENDING</x:v>
      </x:c>
    </x:row>
    <x:row r="11" ht="54" customHeight="1">
      <x:c r="A11" s="30" t="str">
        <x:v>2</x:v>
      </x:c>
      <x:c r="B11" s="30" t="str">
        <x:v>DxGPT</x:v>
      </x:c>
      <x:c r="C11" s="30" t="str">
        <x:v>Free</x:v>
      </x:c>
      <x:c r="D11" s="30" t="str">
        <x:v>https://dxgpt.app/</x:v>
      </x:c>
      <x:c r="E11" s="30" t="str">
        <x:v>https://dxgpt.app/</x:v>
      </x:c>
      <x:c r="F11" s="30" t="str">
        <x:v>Live</x:v>
      </x:c>
      <x:c r="G11" s="30" t="str">
        <x:v>MDP Core</x:v>
      </x:c>
      <x:c r="H11" s="30" t="str"/>
      <x:c r="I11" s="30" t="str">
        <x:v>Not tested</x:v>
      </x:c>
      <x:c r="J11" s="30" t="str">
        <x:v>Pending</x:v>
      </x:c>
      <x:c r="K11" s="30" t="str">
        <x:v>Yes</x:v>
      </x:c>
      <x:c r="L11" s="30" t="str">
        <x:v>Yes</x:v>
      </x:c>
      <x:c r="M11" s="30" t="str">
        <x:v>Task-specific output for comparison</x:v>
      </x:c>
      <x:c r="N11" s="30" t="str">
        <x:v>Named professional verifies before use/release</x:v>
      </x:c>
      <x:c r="O11" s="30" t="str"/>
      <x:c r="P11" s="30" t="str">
        <x:f>IF(AND(I11="Ready",J11="Pass",K11="Yes",L11="Yes"),"READY",IF(OR(I11="Blocked",J11="Fail"),"BLOCKED","PENDING"))</x:f>
        <x:v>PENDING</x:v>
      </x:c>
    </x:row>
    <x:row r="12" ht="54" customHeight="1">
      <x:c r="A12" s="30" t="str">
        <x:v>2</x:v>
      </x:c>
      <x:c r="B12" s="30" t="str">
        <x:v>iatroX</x:v>
      </x:c>
      <x:c r="C12" s="30" t="str">
        <x:v>Free; verify current scope</x:v>
      </x:c>
      <x:c r="D12" s="30" t="str">
        <x:v>https://iatrox.com/</x:v>
      </x:c>
      <x:c r="E12" s="30" t="str">
        <x:v>https://iatrox.com/</x:v>
      </x:c>
      <x:c r="F12" s="30" t="str">
        <x:v>Live if current scope fits</x:v>
      </x:c>
      <x:c r="G12" s="30" t="str">
        <x:v>MDP Core</x:v>
      </x:c>
      <x:c r="H12" s="30" t="str"/>
      <x:c r="I12" s="30" t="str">
        <x:v>Not tested</x:v>
      </x:c>
      <x:c r="J12" s="30" t="str">
        <x:v>Pending</x:v>
      </x:c>
      <x:c r="K12" s="30" t="str">
        <x:v>Yes</x:v>
      </x:c>
      <x:c r="L12" s="30" t="str">
        <x:v>Yes</x:v>
      </x:c>
      <x:c r="M12" s="30" t="str">
        <x:v>Task-specific output for comparison</x:v>
      </x:c>
      <x:c r="N12" s="30" t="str">
        <x:v>Named professional verifies before use/release</x:v>
      </x:c>
      <x:c r="O12" s="30" t="str"/>
      <x:c r="P12" s="30" t="str">
        <x:f>IF(AND(I12="Ready",J12="Pass",K12="Yes",L12="Yes"),"READY",IF(OR(I12="Blocked",J12="Fail"),"BLOCKED","PENDING"))</x:f>
        <x:v>PENDING</x:v>
      </x:c>
    </x:row>
    <x:row r="13" ht="54" customHeight="1">
      <x:c r="A13" s="30" t="str">
        <x:v>2</x:v>
      </x:c>
      <x:c r="B13" s="30" t="str">
        <x:v>MDCalc</x:v>
      </x:c>
      <x:c r="C13" s="30" t="str">
        <x:v>Free core access</x:v>
      </x:c>
      <x:c r="D13" s="30" t="str">
        <x:v>https://www.mdcalc.com/</x:v>
      </x:c>
      <x:c r="E13" s="30" t="str">
        <x:v>https://www.mdcalc.com/</x:v>
      </x:c>
      <x:c r="F13" s="30" t="str">
        <x:v>Live</x:v>
      </x:c>
      <x:c r="G13" s="30" t="str">
        <x:v>MDP Core</x:v>
      </x:c>
      <x:c r="H13" s="30" t="str"/>
      <x:c r="I13" s="30" t="str">
        <x:v>Not tested</x:v>
      </x:c>
      <x:c r="J13" s="30" t="str">
        <x:v>Pending</x:v>
      </x:c>
      <x:c r="K13" s="30" t="str">
        <x:v>Yes</x:v>
      </x:c>
      <x:c r="L13" s="30" t="str">
        <x:v>Yes</x:v>
      </x:c>
      <x:c r="M13" s="30" t="str">
        <x:v>Task-specific output for comparison</x:v>
      </x:c>
      <x:c r="N13" s="30" t="str">
        <x:v>Named professional verifies before use/release</x:v>
      </x:c>
      <x:c r="O13" s="30" t="str"/>
      <x:c r="P13" s="30" t="str">
        <x:f>IF(AND(I13="Ready",J13="Pass",K13="Yes",L13="Yes"),"READY",IF(OR(I13="Blocked",J13="Fail"),"BLOCKED","PENDING"))</x:f>
        <x:v>PENDING</x:v>
      </x:c>
    </x:row>
    <x:row r="14" ht="54" customHeight="1">
      <x:c r="A14" s="30" t="str">
        <x:v>2</x:v>
      </x:c>
      <x:c r="B14" s="30" t="str">
        <x:v>Epocrates</x:v>
      </x:c>
      <x:c r="C14" s="30" t="str">
        <x:v>Free core + paid premium</x:v>
      </x:c>
      <x:c r="D14" s="30" t="str">
        <x:v>https://www.epocrates.com/</x:v>
      </x:c>
      <x:c r="E14" s="30" t="str">
        <x:v>https://www.epocrates.com/</x:v>
      </x:c>
      <x:c r="F14" s="30" t="str">
        <x:v>Live/free core</x:v>
      </x:c>
      <x:c r="G14" s="30" t="str">
        <x:v>MDP Core</x:v>
      </x:c>
      <x:c r="H14" s="30" t="str"/>
      <x:c r="I14" s="30" t="str">
        <x:v>Not tested</x:v>
      </x:c>
      <x:c r="J14" s="30" t="str">
        <x:v>Pending</x:v>
      </x:c>
      <x:c r="K14" s="30" t="str">
        <x:v>Yes</x:v>
      </x:c>
      <x:c r="L14" s="30" t="str">
        <x:v>Yes</x:v>
      </x:c>
      <x:c r="M14" s="30" t="str">
        <x:v>Task-specific output for comparison</x:v>
      </x:c>
      <x:c r="N14" s="30" t="str">
        <x:v>Named professional verifies before use/release</x:v>
      </x:c>
      <x:c r="O14" s="30" t="str"/>
      <x:c r="P14" s="30" t="str">
        <x:f>IF(AND(I14="Ready",J14="Pass",K14="Yes",L14="Yes"),"READY",IF(OR(I14="Blocked",J14="Fail"),"BLOCKED","PENDING"))</x:f>
        <x:v>PENDING</x:v>
      </x:c>
    </x:row>
    <x:row r="15" ht="54" customHeight="1">
      <x:c r="A15" s="30" t="str">
        <x:v>All</x:v>
      </x:c>
      <x:c r="B15" s="30" t="str">
        <x:v>ChatGPT</x:v>
      </x:c>
      <x:c r="C15" s="30" t="str">
        <x:v>Free tier + paid</x:v>
      </x:c>
      <x:c r="D15" s="30" t="str">
        <x:v>https://chatgpt.com/</x:v>
      </x:c>
      <x:c r="E15" s="30" t="str">
        <x:v>https://chatgpt.com/</x:v>
      </x:c>
      <x:c r="F15" s="30" t="str">
        <x:v>Participant live</x:v>
      </x:c>
      <x:c r="G15" s="30" t="str">
        <x:v>MDP Core</x:v>
      </x:c>
      <x:c r="H15" s="30" t="str"/>
      <x:c r="I15" s="30" t="str">
        <x:v>Not tested</x:v>
      </x:c>
      <x:c r="J15" s="30" t="str">
        <x:v>Pending</x:v>
      </x:c>
      <x:c r="K15" s="30" t="str">
        <x:v>Yes</x:v>
      </x:c>
      <x:c r="L15" s="30" t="str">
        <x:v>Yes</x:v>
      </x:c>
      <x:c r="M15" s="30" t="str">
        <x:v>Structured discussion output</x:v>
      </x:c>
      <x:c r="N15" s="30" t="str">
        <x:v>Named professional verifies before use/release</x:v>
      </x:c>
      <x:c r="O15" s="30" t="str"/>
      <x:c r="P15" s="30" t="str">
        <x:f>IF(AND(I15="Ready",J15="Pass",K15="Yes",L15="Yes"),"READY",IF(OR(I15="Blocked",J15="Fail"),"BLOCKED","PENDING"))</x:f>
        <x:v>PENDING</x:v>
      </x:c>
    </x:row>
    <x:row r="16" ht="54" customHeight="1">
      <x:c r="A16" s="30" t="str">
        <x:v>3</x:v>
      </x:c>
      <x:c r="B16" s="30" t="str">
        <x:v>Canva Magic Studio</x:v>
      </x:c>
      <x:c r="C16" s="30" t="str">
        <x:v>Free tier + paid</x:v>
      </x:c>
      <x:c r="D16" s="30" t="str">
        <x:v>https://www.canva.com/magic-studio/</x:v>
      </x:c>
      <x:c r="E16" s="30" t="str">
        <x:v>https://www.canva.com/magic-studio/</x:v>
      </x:c>
      <x:c r="F16" s="30" t="str">
        <x:v>Live/free-tier</x:v>
      </x:c>
      <x:c r="G16" s="30" t="str">
        <x:v>MDP Core</x:v>
      </x:c>
      <x:c r="H16" s="30" t="str"/>
      <x:c r="I16" s="30" t="str">
        <x:v>Not tested</x:v>
      </x:c>
      <x:c r="J16" s="30" t="str">
        <x:v>Pending</x:v>
      </x:c>
      <x:c r="K16" s="30" t="str">
        <x:v>Yes</x:v>
      </x:c>
      <x:c r="L16" s="30" t="str">
        <x:v>Yes</x:v>
      </x:c>
      <x:c r="M16" s="30" t="str">
        <x:v>Task-specific output for comparison</x:v>
      </x:c>
      <x:c r="N16" s="30" t="str">
        <x:v>Named professional verifies before use/release</x:v>
      </x:c>
      <x:c r="O16" s="30" t="str"/>
      <x:c r="P16" s="30" t="str">
        <x:f>IF(AND(I16="Ready",J16="Pass",K16="Yes",L16="Yes"),"READY",IF(OR(I16="Blocked",J16="Fail"),"BLOCKED","PENDING"))</x:f>
        <x:v>PENDING</x:v>
      </x:c>
    </x:row>
    <x:row r="17" ht="54" customHeight="1">
      <x:c r="A17" s="30" t="str">
        <x:v>3</x:v>
      </x:c>
      <x:c r="B17" s="30" t="str">
        <x:v>Gamma</x:v>
      </x:c>
      <x:c r="C17" s="30" t="str">
        <x:v>Free tier + paid</x:v>
      </x:c>
      <x:c r="D17" s="30" t="str">
        <x:v>https://gamma.app/</x:v>
      </x:c>
      <x:c r="E17" s="30" t="str">
        <x:v>https://gamma.app/</x:v>
      </x:c>
      <x:c r="F17" s="30" t="str">
        <x:v>Live/free-tier</x:v>
      </x:c>
      <x:c r="G17" s="30" t="str">
        <x:v>Extended</x:v>
      </x:c>
      <x:c r="H17" s="30" t="str"/>
      <x:c r="I17" s="30" t="str">
        <x:v>Not tested</x:v>
      </x:c>
      <x:c r="J17" s="30" t="str">
        <x:v>Pending</x:v>
      </x:c>
      <x:c r="K17" s="30" t="str">
        <x:v>Yes</x:v>
      </x:c>
      <x:c r="L17" s="30" t="str">
        <x:v>Yes</x:v>
      </x:c>
      <x:c r="M17" s="30" t="str">
        <x:v>Task-specific output for comparison</x:v>
      </x:c>
      <x:c r="N17" s="30" t="str">
        <x:v>Named professional verifies before use/release</x:v>
      </x:c>
      <x:c r="O17" s="30" t="str"/>
      <x:c r="P17" s="30" t="str">
        <x:f>IF(AND(I17="Ready",J17="Pass",K17="Yes",L17="Yes"),"READY",IF(OR(I17="Blocked",J17="Fail"),"BLOCKED","PENDING"))</x:f>
        <x:v>PENDING</x:v>
      </x:c>
    </x:row>
    <x:row r="18" ht="54" customHeight="1">
      <x:c r="A18" s="30" t="str">
        <x:v>3</x:v>
      </x:c>
      <x:c r="B18" s="30" t="str">
        <x:v>Bhashini</x:v>
      </x:c>
      <x:c r="C18" s="30" t="str">
        <x:v>Government platform / access varies</x:v>
      </x:c>
      <x:c r="D18" s="30" t="str">
        <x:v>https://bhashini.gov.in/</x:v>
      </x:c>
      <x:c r="E18" s="30" t="str">
        <x:v>https://bhashini.gov.in/ulca/model/explore-models</x:v>
      </x:c>
      <x:c r="F18" s="30" t="str">
        <x:v>Live/screenshot</x:v>
      </x:c>
      <x:c r="G18" s="30" t="str">
        <x:v>Extended</x:v>
      </x:c>
      <x:c r="H18" s="30" t="str"/>
      <x:c r="I18" s="30" t="str">
        <x:v>Not tested</x:v>
      </x:c>
      <x:c r="J18" s="30" t="str">
        <x:v>Pending</x:v>
      </x:c>
      <x:c r="K18" s="30" t="str">
        <x:v>Yes</x:v>
      </x:c>
      <x:c r="L18" s="30" t="str">
        <x:v>Yes</x:v>
      </x:c>
      <x:c r="M18" s="30" t="str">
        <x:v>Task-specific output for comparison</x:v>
      </x:c>
      <x:c r="N18" s="30" t="str">
        <x:v>Named professional verifies before use/release</x:v>
      </x:c>
      <x:c r="O18" s="30" t="str"/>
      <x:c r="P18" s="30" t="str">
        <x:f>IF(AND(I18="Ready",J18="Pass",K18="Yes",L18="Yes"),"READY",IF(OR(I18="Blocked",J18="Fail"),"BLOCKED","PENDING"))</x:f>
        <x:v>PENDING</x:v>
      </x:c>
    </x:row>
    <x:row r="19" ht="54" customHeight="1">
      <x:c r="A19" s="30" t="str">
        <x:v>4</x:v>
      </x:c>
      <x:c r="B19" s="30" t="str">
        <x:v>PubMed</x:v>
      </x:c>
      <x:c r="C19" s="30" t="str">
        <x:v>Free</x:v>
      </x:c>
      <x:c r="D19" s="30" t="str">
        <x:v>https://pubmed.ncbi.nlm.nih.gov/</x:v>
      </x:c>
      <x:c r="E19" s="30" t="str">
        <x:v>https://learn.nlm.nih.gov/documentation/training-packets/T0042010P/</x:v>
      </x:c>
      <x:c r="F19" s="30" t="str">
        <x:v>Live</x:v>
      </x:c>
      <x:c r="G19" s="30" t="str">
        <x:v>MDP Research</x:v>
      </x:c>
      <x:c r="H19" s="30" t="str"/>
      <x:c r="I19" s="30" t="str">
        <x:v>Not tested</x:v>
      </x:c>
      <x:c r="J19" s="30" t="str">
        <x:v>Pending</x:v>
      </x:c>
      <x:c r="K19" s="30" t="str">
        <x:v>Yes</x:v>
      </x:c>
      <x:c r="L19" s="30" t="str">
        <x:v>Yes</x:v>
      </x:c>
      <x:c r="M19" s="30" t="str">
        <x:v>Task-specific output for comparison</x:v>
      </x:c>
      <x:c r="N19" s="30" t="str">
        <x:v>Named professional verifies before use/release</x:v>
      </x:c>
      <x:c r="O19" s="30" t="str"/>
      <x:c r="P19" s="30" t="str">
        <x:f>IF(AND(I19="Ready",J19="Pass",K19="Yes",L19="Yes"),"READY",IF(OR(I19="Blocked",J19="Fail"),"BLOCKED","PENDING"))</x:f>
        <x:v>PENDING</x:v>
      </x:c>
    </x:row>
    <x:row r="20" ht="54" customHeight="1">
      <x:c r="A20" s="30" t="str">
        <x:v>4</x:v>
      </x:c>
      <x:c r="B20" s="30" t="str">
        <x:v>Elicit</x:v>
      </x:c>
      <x:c r="C20" s="30" t="str">
        <x:v>Free tier + paid</x:v>
      </x:c>
      <x:c r="D20" s="30" t="str">
        <x:v>https://elicit.com/</x:v>
      </x:c>
      <x:c r="E20" s="30" t="str">
        <x:v>https://elicit.com/</x:v>
      </x:c>
      <x:c r="F20" s="30" t="str">
        <x:v>Live/free-tier</x:v>
      </x:c>
      <x:c r="G20" s="30" t="str">
        <x:v>MDP Core</x:v>
      </x:c>
      <x:c r="H20" s="30" t="str"/>
      <x:c r="I20" s="30" t="str">
        <x:v>Not tested</x:v>
      </x:c>
      <x:c r="J20" s="30" t="str">
        <x:v>Pending</x:v>
      </x:c>
      <x:c r="K20" s="30" t="str">
        <x:v>Yes</x:v>
      </x:c>
      <x:c r="L20" s="30" t="str">
        <x:v>Yes</x:v>
      </x:c>
      <x:c r="M20" s="30" t="str">
        <x:v>Task-specific output for comparison</x:v>
      </x:c>
      <x:c r="N20" s="30" t="str">
        <x:v>Named professional verifies before use/release</x:v>
      </x:c>
      <x:c r="O20" s="30" t="str"/>
      <x:c r="P20" s="30" t="str">
        <x:f>IF(AND(I20="Ready",J20="Pass",K20="Yes",L20="Yes"),"READY",IF(OR(I20="Blocked",J20="Fail"),"BLOCKED","PENDING"))</x:f>
        <x:v>PENDING</x:v>
      </x:c>
    </x:row>
    <x:row r="21" ht="54" customHeight="1">
      <x:c r="A21" s="30" t="str">
        <x:v>4</x:v>
      </x:c>
      <x:c r="B21" s="30" t="str">
        <x:v>ResearchRabbit</x:v>
      </x:c>
      <x:c r="C21" s="30" t="str">
        <x:v>Free core access</x:v>
      </x:c>
      <x:c r="D21" s="30" t="str">
        <x:v>https://www.researchrabbit.ai/</x:v>
      </x:c>
      <x:c r="E21" s="30" t="str">
        <x:v>https://www.researchrabbit.ai/</x:v>
      </x:c>
      <x:c r="F21" s="30" t="str">
        <x:v>Live/free core</x:v>
      </x:c>
      <x:c r="G21" s="30" t="str">
        <x:v>MDP Core</x:v>
      </x:c>
      <x:c r="H21" s="30" t="str"/>
      <x:c r="I21" s="30" t="str">
        <x:v>Not tested</x:v>
      </x:c>
      <x:c r="J21" s="30" t="str">
        <x:v>Pending</x:v>
      </x:c>
      <x:c r="K21" s="30" t="str">
        <x:v>Yes</x:v>
      </x:c>
      <x:c r="L21" s="30" t="str">
        <x:v>Yes</x:v>
      </x:c>
      <x:c r="M21" s="30" t="str">
        <x:v>Task-specific output for comparison</x:v>
      </x:c>
      <x:c r="N21" s="30" t="str">
        <x:v>Named professional verifies before use/release</x:v>
      </x:c>
      <x:c r="O21" s="30" t="str"/>
      <x:c r="P21" s="30" t="str">
        <x:f>IF(AND(I21="Ready",J21="Pass",K21="Yes",L21="Yes"),"READY",IF(OR(I21="Blocked",J21="Fail"),"BLOCKED","PENDING"))</x:f>
        <x:v>PENDING</x:v>
      </x:c>
    </x:row>
    <x:row r="22" ht="54" customHeight="1">
      <x:c r="A22" s="31" t="str">
        <x:v>4</x:v>
      </x:c>
      <x:c r="B22" s="31" t="str">
        <x:v>Scite</x:v>
      </x:c>
      <x:c r="C22" s="31" t="str">
        <x:v>Limited free access + paid</x:v>
      </x:c>
      <x:c r="D22" s="31" t="str">
        <x:v>https://scite.ai/</x:v>
      </x:c>
      <x:c r="E22" s="31" t="str">
        <x:v>https://scite.ai/</x:v>
      </x:c>
      <x:c r="F22" s="31" t="str">
        <x:v>Live/limited</x:v>
      </x:c>
      <x:c r="G22" s="31" t="str">
        <x:v>MDP Core</x:v>
      </x:c>
      <x:c r="H22" s="31" t="str"/>
      <x:c r="I22" s="31" t="str">
        <x:v>Not tested</x:v>
      </x:c>
      <x:c r="J22" s="31" t="str">
        <x:v>Pending</x:v>
      </x:c>
      <x:c r="K22" s="31" t="str">
        <x:v>Yes</x:v>
      </x:c>
      <x:c r="L22" s="31" t="str">
        <x:v>Yes</x:v>
      </x:c>
      <x:c r="M22" s="31" t="str">
        <x:v>Task-specific output for comparison</x:v>
      </x:c>
      <x:c r="N22" s="31" t="str">
        <x:v>Named professional verifies before use/release</x:v>
      </x:c>
      <x:c r="O22" s="31" t="str"/>
      <x:c r="P22" s="31" t="str">
        <x:f>IF(AND(I22="Ready",J22="Pass",K22="Yes",L22="Yes"),"READY",IF(OR(I22="Blocked",J22="Fail"),"BLOCKED","PENDING"))</x:f>
        <x:v>PENDING</x:v>
      </x:c>
    </x:row>
  </x:sheetData>
  <x:mergeCells>
    <x:mergeCell ref="A1:P1"/>
    <x:mergeCell ref="A2:P2"/>
  </x:mergeCells>
  <x:conditionalFormatting sqref="P5:P22">
    <x:cfRule type="containsText" dxfId="0" priority="1" operator="containsText" text="READY"/>
    <x:cfRule type="containsText" dxfId="1" priority="2" operator="containsText" text="BLOCKED"/>
    <x:cfRule type="containsText" dxfId="2" priority="3" operator="containsText" text="PENDING"/>
  </x:conditionalFormatting>
  <x:dataValidations count="3">
    <x:dataValidation type="list" sqref="I5:I22">
      <x:formula1>"Not tested,Ready,Blocked"</x:formula1>
    </x:dataValidation>
    <x:dataValidation type="list" sqref="J5:J22">
      <x:formula1>"Pending,Pass,Fail"</x:formula1>
    </x:dataValidation>
    <x:dataValidation type="list" sqref="K5:L22">
      <x:formula1>"No,Yes"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0e11c01fb642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24" hidden="0" customWidth="1"/>
    <x:col min="4" max="4" width="27" hidden="0" customWidth="1"/>
    <x:col min="5" max="5" width="24" hidden="0" customWidth="1"/>
    <x:col min="6" max="6" width="26" hidden="0" customWidth="1"/>
    <x:col min="7" max="7" width="24" hidden="0" customWidth="1"/>
    <x:col min="8" max="8" width="22" hidden="0" customWidth="1"/>
    <x:col min="9" max="9" width="22" hidden="0" customWidth="1"/>
  </x:cols>
  <x:sheetData>
    <x:row r="1" ht="34" customHeight="1">
      <x:c r="A1" s="3" t="str">
        <x:v>Readiness Summary and Facilitation Runbook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Overall status is formula-driven from login, privacy, synthetic input and screenshot fallback fields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9" t="str">
        <x:v>Metric</x:v>
      </x:c>
      <x:c r="B4" s="21" t="str">
        <x:v>Count</x:v>
      </x:c>
      <x:c r="D4" s="38" t="str">
        <x:v>Go / no-go gates</x:v>
      </x:c>
      <x:c r="E4" s="38"/>
      <x:c r="F4" s="38"/>
      <x:c r="G4" s="38"/>
      <x:c r="H4" s="38"/>
      <x:c r="I4" s="38"/>
    </x:row>
    <x:row r="5">
      <x:c r="A5" s="32" t="str">
        <x:v>Total tools</x:v>
      </x:c>
      <x:c r="B5" s="35" t="n">
        <x:f>COUNTA('Demo Readiness'!B5:B22)</x:f>
        <x:v>18</x:v>
      </x:c>
      <x:c r="D5" s="41" t="str">
        <x:v>1</x:v>
      </x:c>
      <x:c r="E5" s="41" t="str">
        <x:v>No identifiable patient data</x:v>
      </x:c>
      <x:c r="F5" s="41" t="str">
        <x:v>2</x:v>
      </x:c>
      <x:c r="G5" s="41" t="str">
        <x:v>Named professional reviewer</x:v>
      </x:c>
      <x:c r="H5" s="41" t="str">
        <x:v>3</x:v>
      </x:c>
      <x:c r="I5" s="41" t="str">
        <x:v>Urgent escalation path</x:v>
      </x:c>
    </x:row>
    <x:row r="6">
      <x:c r="A6" s="32" t="str">
        <x:v>Ready</x:v>
      </x:c>
      <x:c r="B6" s="35" t="n">
        <x:f>COUNTIF('Demo Readiness'!P5:P22,"READY")</x:f>
        <x:v>0</x:v>
      </x:c>
      <x:c r="D6" s="41" t="str">
        <x:v>4</x:v>
      </x:c>
      <x:c r="E6" s="41" t="str">
        <x:v>Official URL opens</x:v>
      </x:c>
      <x:c r="F6" s="41" t="str">
        <x:v>5</x:v>
      </x:c>
      <x:c r="G6" s="41" t="str">
        <x:v>Account/region verified</x:v>
      </x:c>
      <x:c r="H6" s="41" t="str">
        <x:v>6</x:v>
      </x:c>
      <x:c r="I6" s="41" t="str">
        <x:v>Synthetic input labelled</x:v>
      </x:c>
    </x:row>
    <x:row r="7">
      <x:c r="A7" s="32" t="str">
        <x:v>Pending</x:v>
      </x:c>
      <x:c r="B7" s="35" t="n">
        <x:f>COUNTIF('Demo Readiness'!P5:P22,"PENDING")</x:f>
        <x:v>18</x:v>
      </x:c>
      <x:c r="D7" s="41" t="str">
        <x:v>7</x:v>
      </x:c>
      <x:c r="E7" s="41" t="str">
        <x:v>Screenshot fallback opens</x:v>
      </x:c>
      <x:c r="F7" s="41" t="str">
        <x:v>8</x:v>
      </x:c>
      <x:c r="G7" s="41" t="str">
        <x:v>Expected output known</x:v>
      </x:c>
      <x:c r="H7" s="41" t="str">
        <x:v>9</x:v>
      </x:c>
      <x:c r="I7" s="41" t="str">
        <x:v>Stop rule announced</x:v>
      </x:c>
    </x:row>
    <x:row r="8">
      <x:c r="A8" s="32" t="str">
        <x:v>Blocked</x:v>
      </x:c>
      <x:c r="B8" s="35" t="n">
        <x:f>COUNTIF('Demo Readiness'!P5:P22,"BLOCKED")</x:f>
        <x:v>0</x:v>
      </x:c>
      <x:c r="D8" s="41" t="str">
        <x:v>If live fails</x:v>
      </x:c>
      <x:c r="E8" s="41" t="str">
        <x:v>Use screenshot/output</x:v>
      </x:c>
      <x:c r="F8" s="41" t="str">
        <x:v>Then</x:v>
      </x:c>
      <x:c r="G8" s="41" t="str">
        <x:v>Run paired ChatGPT prompt</x:v>
      </x:c>
      <x:c r="H8" s="41" t="str">
        <x:v>Preserve</x:v>
      </x:c>
      <x:c r="I8" s="41" t="str">
        <x:v>Checkpoint + debrief</x:v>
      </x:c>
    </x:row>
    <x:row r="9">
      <x:c r="D9" s="41" t="str">
        <x:v>If unsafe output</x:v>
      </x:c>
      <x:c r="E9" s="41" t="str">
        <x:v>Stop and label</x:v>
      </x:c>
      <x:c r="F9" s="41" t="str">
        <x:v>Then</x:v>
      </x:c>
      <x:c r="G9" s="41" t="str">
        <x:v>Apply escalation/stop rule</x:v>
      </x:c>
      <x:c r="H9" s="41" t="str">
        <x:v>Record</x:v>
      </x:c>
      <x:c r="I9" s="41" t="str">
        <x:v>Failure mode</x:v>
      </x:c>
    </x:row>
    <x:row r="10">
      <x:c r="D10" s="41" t="str">
        <x:v>If time slips</x:v>
      </x:c>
      <x:c r="E10" s="41" t="str">
        <x:v>Shorten interface tour</x:v>
      </x:c>
      <x:c r="F10" s="41" t="str">
        <x:v>Protect</x:v>
      </x:c>
      <x:c r="G10" s="41" t="str">
        <x:v>Practice and debrief</x:v>
      </x:c>
      <x:c r="H10" s="41" t="str">
        <x:v>Never cut</x:v>
      </x:c>
      <x:c r="I10" s="41" t="str">
        <x:v>Human checkpoint</x:v>
      </x:c>
    </x:row>
    <x:row r="11">
      <x:c r="A11" s="43" t="str">
        <x:v>Facilitator sign-off</x:v>
      </x:c>
      <x:c r="B11" s="43"/>
      <x:c r="C11" s="43"/>
      <x:c r="D11" s="43"/>
      <x:c r="E11" s="43"/>
      <x:c r="F11" s="43"/>
      <x:c r="G11" s="43"/>
      <x:c r="H11" s="43"/>
      <x:c r="I11" s="43"/>
    </x:row>
    <x:row r="12">
      <x:c r="A12" s="45" t="str">
        <x:v>Network tested</x:v>
      </x:c>
      <x:c r="B12" s="45" t="str"/>
      <x:c r="C12" s="45" t="str">
        <x:v>Accounts tested</x:v>
      </x:c>
      <x:c r="D12" s="45" t="str"/>
      <x:c r="E12" s="45" t="str">
        <x:v>Screenshots opened</x:v>
      </x:c>
      <x:c r="F12" s="45" t="str"/>
      <x:c r="G12" s="45" t="str">
        <x:v>Timer prepared</x:v>
      </x:c>
      <x:c r="H12" s="45" t="str"/>
    </x:row>
    <x:row r="13">
      <x:c r="A13" s="45" t="str">
        <x:v>Synthetic cases printed</x:v>
      </x:c>
      <x:c r="B13" s="45" t="str"/>
      <x:c r="C13" s="45" t="str">
        <x:v>Prompt Cards distributed</x:v>
      </x:c>
      <x:c r="D13" s="45" t="str"/>
      <x:c r="E13" s="45" t="str">
        <x:v>Seven sources opened</x:v>
      </x:c>
      <x:c r="F13" s="45" t="str"/>
      <x:c r="G13" s="45" t="str">
        <x:v>SOP contacts known</x:v>
      </x:c>
      <x:c r="H13" s="45" t="str"/>
    </x:row>
    <x:row r="14">
      <x:c r="A14" s="45" t="str">
        <x:v>Clinical reviewer</x:v>
      </x:c>
      <x:c r="B14" s="45" t="str">
        <x:v>________________</x:v>
      </x:c>
      <x:c r="C14" s="45" t="str">
        <x:v>Privacy/IT</x:v>
      </x:c>
      <x:c r="D14" s="45" t="str">
        <x:v>________________</x:v>
      </x:c>
      <x:c r="E14" s="45" t="str">
        <x:v>MI/MLR</x:v>
      </x:c>
      <x:c r="F14" s="45" t="str">
        <x:v>________________</x:v>
      </x:c>
      <x:c r="G14" s="45" t="str">
        <x:v>PV/PQC</x:v>
      </x:c>
      <x:c r="H14" s="45" t="str">
        <x:v>________________</x:v>
      </x:c>
    </x:row>
    <x:row r="15">
      <x:c r="A15" s="45" t="str">
        <x:v>Delivery date</x:v>
      </x:c>
      <x:c r="B15" s="45" t="str">
        <x:v>________________</x:v>
      </x:c>
      <x:c r="C15" s="45" t="str">
        <x:v>Room</x:v>
      </x:c>
      <x:c r="D15" s="45" t="str">
        <x:v>________________</x:v>
      </x:c>
      <x:c r="E15" s="45" t="str">
        <x:v>Facilitator</x:v>
      </x:c>
      <x:c r="F15" s="45" t="str">
        <x:v>________________</x:v>
      </x:c>
      <x:c r="G15" s="45" t="str">
        <x:v>Version</x:v>
      </x:c>
      <x:c r="H15" s="45" t="str">
        <x:v>2.0</x:v>
      </x:c>
    </x:row>
    <x:row r="16">
      <x:c r="A16" s="45" t="str">
        <x:v>Final decision</x:v>
      </x:c>
      <x:c r="B16" s="45" t="str">
        <x:v>GO / CONDITIONAL GO / NO-GO</x:v>
      </x:c>
      <x:c r="C16" s="45" t="str">
        <x:v>Reason</x:v>
      </x:c>
      <x:c r="D16" s="45" t="str">
        <x:v>________________________________________</x:v>
      </x:c>
      <x:c r="E16" s="45" t="str">
        <x:v>Next check</x:v>
      </x:c>
      <x:c r="F16" s="45" t="str">
        <x:v>________________</x:v>
      </x:c>
      <x:c r="G16" s="45" t="str">
        <x:v>Owner</x:v>
      </x:c>
      <x:c r="H16" s="45" t="str">
        <x:v>________________</x:v>
      </x:c>
    </x:row>
  </x:sheetData>
  <x:mergeCells>
    <x:mergeCell ref="A1:H1"/>
    <x:mergeCell ref="A2:H2"/>
    <x:mergeCell ref="D4:I4"/>
    <x:mergeCell ref="A11:I11"/>
  </x:mergeCells>
  <x:pageMargins left="0.7" right="0.7" top="0.75" bottom="0.75" header="0.3" footer="0.3"/>
</x:worksheet>
</file>